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s" sheetId="1" r:id="rId5"/>
    <sheet state="visible" name="blood inventory" sheetId="2" r:id="rId6"/>
    <sheet state="visible" name="Emergency requests" sheetId="3" r:id="rId7"/>
    <sheet state="visible" name="Transfer log" sheetId="4" r:id="rId8"/>
    <sheet state="visible" name="Agent Memory" sheetId="5" r:id="rId9"/>
    <sheet state="visible" name="Agent Activity Log" sheetId="6" r:id="rId10"/>
  </sheets>
  <definedNames/>
  <calcPr/>
</workbook>
</file>

<file path=xl/sharedStrings.xml><?xml version="1.0" encoding="utf-8"?>
<sst xmlns="http://schemas.openxmlformats.org/spreadsheetml/2006/main" count="198" uniqueCount="137">
  <si>
    <t>Hospital_ID</t>
  </si>
  <si>
    <t>Hospital_Name</t>
  </si>
  <si>
    <t>Area</t>
  </si>
  <si>
    <t>City</t>
  </si>
  <si>
    <t>Latitude</t>
  </si>
  <si>
    <t>Longitude</t>
  </si>
  <si>
    <t>Phone</t>
  </si>
  <si>
    <t>Email</t>
  </si>
  <si>
    <t>H001</t>
  </si>
  <si>
    <t>Ruby Hall Clinic</t>
  </si>
  <si>
    <t>Sangamvadi</t>
  </si>
  <si>
    <t>Pune</t>
  </si>
  <si>
    <r>
      <rPr>
        <color rgb="FF1155CC"/>
        <u/>
      </rPr>
      <t>bloodbank.h001@hemosync.demo</t>
    </r>
  </si>
  <si>
    <t>H002</t>
  </si>
  <si>
    <t>Sassoon General Hospital</t>
  </si>
  <si>
    <t>Pune Station</t>
  </si>
  <si>
    <r>
      <rPr>
        <color rgb="FF1155CC"/>
        <u/>
      </rPr>
      <t>bloodbank.h002@hemosync.demo</t>
    </r>
  </si>
  <si>
    <t>H003</t>
  </si>
  <si>
    <t>Jehangir Hospital</t>
  </si>
  <si>
    <t>Sassoon Road</t>
  </si>
  <si>
    <r>
      <rPr>
        <color rgb="FF1155CC"/>
        <u/>
      </rPr>
      <t>bloodbank.h003@hemosync.demo</t>
    </r>
  </si>
  <si>
    <t>H004</t>
  </si>
  <si>
    <t>Noble Hospital</t>
  </si>
  <si>
    <t>Hadapsar</t>
  </si>
  <si>
    <r>
      <rPr>
        <color rgb="FF1155CC"/>
        <u/>
      </rPr>
      <t>bloodbank.h004@hemosync.demo</t>
    </r>
  </si>
  <si>
    <t>H005</t>
  </si>
  <si>
    <t>Deenanath Mangeshkar Hospital</t>
  </si>
  <si>
    <t>Erandwane</t>
  </si>
  <si>
    <r>
      <rPr>
        <color rgb="FF1155CC"/>
        <u/>
      </rPr>
      <t>bloodbank.h005@hemosync.demo</t>
    </r>
  </si>
  <si>
    <t>H006</t>
  </si>
  <si>
    <t>KEM Hospital</t>
  </si>
  <si>
    <t>Rasta Peth</t>
  </si>
  <si>
    <r>
      <rPr>
        <color rgb="FF1155CC"/>
        <u/>
      </rPr>
      <t>bloodbank.h006@hemosync.demo</t>
    </r>
  </si>
  <si>
    <t>H007</t>
  </si>
  <si>
    <t>Sahyadri Hospital</t>
  </si>
  <si>
    <t>Deccan</t>
  </si>
  <si>
    <r>
      <rPr>
        <color rgb="FF1155CC"/>
        <u/>
      </rPr>
      <t>bloodbank.h007@hemosync.demo</t>
    </r>
  </si>
  <si>
    <t>H008</t>
  </si>
  <si>
    <t>Jupiter Hospital</t>
  </si>
  <si>
    <t>Baner</t>
  </si>
  <si>
    <r>
      <rPr>
        <color rgb="FF1155CC"/>
        <u/>
      </rPr>
      <t>bloodbank.h008@hemosync.demo</t>
    </r>
  </si>
  <si>
    <t>H009</t>
  </si>
  <si>
    <t>Aditya Birla Memorial Hospital</t>
  </si>
  <si>
    <t>Chinchwad</t>
  </si>
  <si>
    <r>
      <rPr>
        <color rgb="FF1155CC"/>
        <u/>
      </rPr>
      <t>bloodbank.h009@hemosync.demo</t>
    </r>
  </si>
  <si>
    <t>H010</t>
  </si>
  <si>
    <t>Bharati Hospital</t>
  </si>
  <si>
    <t>Dhankawadi</t>
  </si>
  <si>
    <r>
      <rPr>
        <color rgb="FF1155CC"/>
        <u/>
      </rPr>
      <t>bloodbank.h010@hemosync.demo</t>
    </r>
  </si>
  <si>
    <t>Bag_ID</t>
  </si>
  <si>
    <t>Blood_Type</t>
  </si>
  <si>
    <t>Collection_Date</t>
  </si>
  <si>
    <t>Expiry_Date</t>
  </si>
  <si>
    <t>Status</t>
  </si>
  <si>
    <t>B0001</t>
  </si>
  <si>
    <t>O+</t>
  </si>
  <si>
    <t>Available</t>
  </si>
  <si>
    <t>B0002</t>
  </si>
  <si>
    <t>B0003</t>
  </si>
  <si>
    <t>A+</t>
  </si>
  <si>
    <t>B0004</t>
  </si>
  <si>
    <t>B+</t>
  </si>
  <si>
    <t>B0005</t>
  </si>
  <si>
    <t>AB+</t>
  </si>
  <si>
    <t>B0006</t>
  </si>
  <si>
    <t>O-</t>
  </si>
  <si>
    <t>B0007</t>
  </si>
  <si>
    <t>Reserved</t>
  </si>
  <si>
    <t>B0008</t>
  </si>
  <si>
    <t>A-</t>
  </si>
  <si>
    <t>B0009</t>
  </si>
  <si>
    <t>B0010</t>
  </si>
  <si>
    <t>Request_ID</t>
  </si>
  <si>
    <t>Units_Required</t>
  </si>
  <si>
    <t>Priority</t>
  </si>
  <si>
    <t>Requested_At</t>
  </si>
  <si>
    <t>R001</t>
  </si>
  <si>
    <t>Critical</t>
  </si>
  <si>
    <t>Pending</t>
  </si>
  <si>
    <t>Transfer_ID</t>
  </si>
  <si>
    <t>Source_Hospital</t>
  </si>
  <si>
    <t>Destination_Hospital</t>
  </si>
  <si>
    <t>Units</t>
  </si>
  <si>
    <t>ETA</t>
  </si>
  <si>
    <t>Created_At</t>
  </si>
  <si>
    <t>T001</t>
  </si>
  <si>
    <t>Completed</t>
  </si>
  <si>
    <t>35 min</t>
  </si>
  <si>
    <t>T002</t>
  </si>
  <si>
    <t>In Progress</t>
  </si>
  <si>
    <t>42 min</t>
  </si>
  <si>
    <t>T003</t>
  </si>
  <si>
    <t>28 min</t>
  </si>
  <si>
    <t>Acceptance_Rate</t>
  </si>
  <si>
    <t>Avg_Response_Time_Min</t>
  </si>
  <si>
    <t>Successful_Transfers</t>
  </si>
  <si>
    <t>Failed_Transfers</t>
  </si>
  <si>
    <t>Reliability_Score</t>
  </si>
  <si>
    <t>Notes</t>
  </si>
  <si>
    <t>Frequently helps nearby hospitals</t>
  </si>
  <si>
    <t>Often requests blood during emergencies</t>
  </si>
  <si>
    <t>Fast response</t>
  </si>
  <si>
    <t>Delays during peak hours</t>
  </si>
  <si>
    <t>Reliable</t>
  </si>
  <si>
    <t>Large blood bank</t>
  </si>
  <si>
    <t>Medium inventory</t>
  </si>
  <si>
    <t>Modern facility</t>
  </si>
  <si>
    <t>Responds slowly</t>
  </si>
  <si>
    <t>Good emergency support</t>
  </si>
  <si>
    <t>Timestamp</t>
  </si>
  <si>
    <t>Agent</t>
  </si>
  <si>
    <t>Event</t>
  </si>
  <si>
    <t>Details</t>
  </si>
  <si>
    <t>Result</t>
  </si>
  <si>
    <t>Inventory Monitor</t>
  </si>
  <si>
    <t>Shortage Detected</t>
  </si>
  <si>
    <t>H002 has only 5 O+ units remaining</t>
  </si>
  <si>
    <t>Triggered Planner</t>
  </si>
  <si>
    <t>Prediction Agent</t>
  </si>
  <si>
    <t>Demand Forecast</t>
  </si>
  <si>
    <t>Predicted shortage within 4 hours</t>
  </si>
  <si>
    <t>High Risk</t>
  </si>
  <si>
    <t>Planner Agent</t>
  </si>
  <si>
    <t>Redistribution Plan</t>
  </si>
  <si>
    <t>Selected H001 → H002 (15 O+)</t>
  </si>
  <si>
    <t>Success</t>
  </si>
  <si>
    <t>Communication Agent</t>
  </si>
  <si>
    <t>Transfer Request</t>
  </si>
  <si>
    <t>Email sent to H001</t>
  </si>
  <si>
    <t>Accepted</t>
  </si>
  <si>
    <t>Logistics Agent</t>
  </si>
  <si>
    <t>Dispatch Planned</t>
  </si>
  <si>
    <t>ETA 35 minutes</t>
  </si>
  <si>
    <t>Reflection Agent</t>
  </si>
  <si>
    <t>Transfer Completed</t>
  </si>
  <si>
    <t>Inventory updated</t>
  </si>
  <si>
    <t>Memory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</si>
</sst>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loodbank.h001@hemosync.demo" TargetMode="External"/><Relationship Id="rId2" Type="http://schemas.openxmlformats.org/officeDocument/2006/relationships/hyperlink" Target="mailto:bloodbank.h002@hemosync.demo" TargetMode="External"/><Relationship Id="rId3" Type="http://schemas.openxmlformats.org/officeDocument/2006/relationships/hyperlink" Target="mailto:bloodbank.h003@hemosync.demo" TargetMode="External"/><Relationship Id="rId4" Type="http://schemas.openxmlformats.org/officeDocument/2006/relationships/hyperlink" Target="mailto:bloodbank.h004@hemosync.demo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bloodbank.h010@hemosync.demo" TargetMode="External"/><Relationship Id="rId9" Type="http://schemas.openxmlformats.org/officeDocument/2006/relationships/hyperlink" Target="mailto:bloodbank.h009@hemosync.demo" TargetMode="External"/><Relationship Id="rId5" Type="http://schemas.openxmlformats.org/officeDocument/2006/relationships/hyperlink" Target="mailto:bloodbank.h005@hemosync.demo" TargetMode="External"/><Relationship Id="rId6" Type="http://schemas.openxmlformats.org/officeDocument/2006/relationships/hyperlink" Target="mailto:bloodbank.h006@hemosync.demo" TargetMode="External"/><Relationship Id="rId7" Type="http://schemas.openxmlformats.org/officeDocument/2006/relationships/hyperlink" Target="mailto:bloodbank.h007@hemosync.demo" TargetMode="External"/><Relationship Id="rId8" Type="http://schemas.openxmlformats.org/officeDocument/2006/relationships/hyperlink" Target="mailto:bloodbank.h008@hemosync.dem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17.88"/>
    <col customWidth="1" min="4" max="4" width="15.25"/>
    <col customWidth="1" min="5" max="5" width="15.88"/>
    <col customWidth="1" min="7" max="7" width="15.75"/>
    <col customWidth="1" min="8" max="8" width="28.75"/>
    <col customWidth="1" min="9" max="9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>
        <v>18.5362</v>
      </c>
      <c r="F2" s="2">
        <v>73.8777</v>
      </c>
      <c r="G2" s="2">
        <v>9.325359552E9</v>
      </c>
      <c r="H2" s="3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11</v>
      </c>
      <c r="E3" s="2">
        <v>18.5276</v>
      </c>
      <c r="F3" s="2">
        <v>73.8748</v>
      </c>
      <c r="G3" s="2">
        <v>9.579738529E9</v>
      </c>
      <c r="H3" s="3" t="s">
        <v>16</v>
      </c>
    </row>
    <row r="4">
      <c r="A4" s="2" t="s">
        <v>17</v>
      </c>
      <c r="B4" s="2" t="s">
        <v>18</v>
      </c>
      <c r="C4" s="2" t="s">
        <v>19</v>
      </c>
      <c r="D4" s="2" t="s">
        <v>11</v>
      </c>
      <c r="E4" s="2">
        <v>18.5318</v>
      </c>
      <c r="F4" s="2">
        <v>73.8769</v>
      </c>
      <c r="G4" s="2">
        <v>9.325359552E9</v>
      </c>
      <c r="H4" s="3" t="s">
        <v>20</v>
      </c>
    </row>
    <row r="5">
      <c r="A5" s="2" t="s">
        <v>21</v>
      </c>
      <c r="B5" s="2" t="s">
        <v>22</v>
      </c>
      <c r="C5" s="2" t="s">
        <v>23</v>
      </c>
      <c r="D5" s="2" t="s">
        <v>11</v>
      </c>
      <c r="E5" s="2">
        <v>18.4968</v>
      </c>
      <c r="F5" s="2">
        <v>73.9275</v>
      </c>
      <c r="G5" s="4">
        <f>+91-9876500004</f>
        <v>-9876499913</v>
      </c>
      <c r="H5" s="3" t="s">
        <v>24</v>
      </c>
    </row>
    <row r="6">
      <c r="A6" s="2" t="s">
        <v>25</v>
      </c>
      <c r="B6" s="2" t="s">
        <v>26</v>
      </c>
      <c r="C6" s="2" t="s">
        <v>27</v>
      </c>
      <c r="D6" s="2" t="s">
        <v>11</v>
      </c>
      <c r="E6" s="2">
        <v>18.5017</v>
      </c>
      <c r="F6" s="2">
        <v>73.8215</v>
      </c>
      <c r="G6" s="4">
        <f>+91-9876500005</f>
        <v>-9876499914</v>
      </c>
      <c r="H6" s="3" t="s">
        <v>28</v>
      </c>
    </row>
    <row r="7">
      <c r="A7" s="2" t="s">
        <v>29</v>
      </c>
      <c r="B7" s="2" t="s">
        <v>30</v>
      </c>
      <c r="C7" s="2" t="s">
        <v>31</v>
      </c>
      <c r="D7" s="2" t="s">
        <v>11</v>
      </c>
      <c r="E7" s="2">
        <v>18.5194</v>
      </c>
      <c r="F7" s="2">
        <v>73.8668</v>
      </c>
      <c r="G7" s="4">
        <f>+91-9876500006</f>
        <v>-9876499915</v>
      </c>
      <c r="H7" s="3" t="s">
        <v>32</v>
      </c>
    </row>
    <row r="8">
      <c r="A8" s="2" t="s">
        <v>33</v>
      </c>
      <c r="B8" s="2" t="s">
        <v>34</v>
      </c>
      <c r="C8" s="2" t="s">
        <v>35</v>
      </c>
      <c r="D8" s="2" t="s">
        <v>11</v>
      </c>
      <c r="E8" s="2">
        <v>18.5126</v>
      </c>
      <c r="F8" s="2">
        <v>73.8415</v>
      </c>
      <c r="G8" s="4">
        <f>+91-9876500007</f>
        <v>-9876499916</v>
      </c>
      <c r="H8" s="3" t="s">
        <v>36</v>
      </c>
    </row>
    <row r="9">
      <c r="A9" s="2" t="s">
        <v>37</v>
      </c>
      <c r="B9" s="2" t="s">
        <v>38</v>
      </c>
      <c r="C9" s="2" t="s">
        <v>39</v>
      </c>
      <c r="D9" s="2" t="s">
        <v>11</v>
      </c>
      <c r="E9" s="2">
        <v>18.5591</v>
      </c>
      <c r="F9" s="2">
        <v>73.7868</v>
      </c>
      <c r="G9" s="4">
        <f>+91-9876500008</f>
        <v>-9876499917</v>
      </c>
      <c r="H9" s="3" t="s">
        <v>40</v>
      </c>
    </row>
    <row r="10">
      <c r="A10" s="2" t="s">
        <v>41</v>
      </c>
      <c r="B10" s="2" t="s">
        <v>42</v>
      </c>
      <c r="C10" s="2" t="s">
        <v>43</v>
      </c>
      <c r="D10" s="2" t="s">
        <v>11</v>
      </c>
      <c r="E10" s="2">
        <v>18.6298</v>
      </c>
      <c r="F10" s="2">
        <v>73.7997</v>
      </c>
      <c r="G10" s="4">
        <f>+91-9876500009</f>
        <v>-9876499918</v>
      </c>
      <c r="H10" s="3" t="s">
        <v>44</v>
      </c>
    </row>
    <row r="11">
      <c r="A11" s="2" t="s">
        <v>45</v>
      </c>
      <c r="B11" s="2" t="s">
        <v>46</v>
      </c>
      <c r="C11" s="2" t="s">
        <v>47</v>
      </c>
      <c r="D11" s="2" t="s">
        <v>11</v>
      </c>
      <c r="E11" s="2">
        <v>18.4597</v>
      </c>
      <c r="F11" s="2">
        <v>73.8567</v>
      </c>
      <c r="G11" s="4">
        <f>+91-9876500010</f>
        <v>-9876499919</v>
      </c>
      <c r="H11" s="3" t="s">
        <v>48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1" t="s">
        <v>0</v>
      </c>
      <c r="C1" s="1" t="s">
        <v>50</v>
      </c>
      <c r="D1" s="1" t="s">
        <v>51</v>
      </c>
      <c r="E1" s="1" t="s">
        <v>52</v>
      </c>
      <c r="F1" s="1" t="s">
        <v>53</v>
      </c>
    </row>
    <row r="2">
      <c r="A2" s="2" t="s">
        <v>54</v>
      </c>
      <c r="B2" s="2" t="s">
        <v>8</v>
      </c>
      <c r="C2" s="2" t="s">
        <v>55</v>
      </c>
      <c r="D2" s="5">
        <v>46204.0</v>
      </c>
      <c r="E2" s="5">
        <v>46211.0</v>
      </c>
      <c r="F2" s="2" t="s">
        <v>56</v>
      </c>
    </row>
    <row r="3">
      <c r="A3" s="2" t="s">
        <v>57</v>
      </c>
      <c r="B3" s="2" t="s">
        <v>8</v>
      </c>
      <c r="C3" s="2" t="s">
        <v>55</v>
      </c>
      <c r="D3" s="5">
        <v>46205.0</v>
      </c>
      <c r="E3" s="5">
        <v>46212.0</v>
      </c>
      <c r="F3" s="2" t="s">
        <v>56</v>
      </c>
    </row>
    <row r="4">
      <c r="A4" s="2" t="s">
        <v>58</v>
      </c>
      <c r="B4" s="2" t="s">
        <v>8</v>
      </c>
      <c r="C4" s="2" t="s">
        <v>59</v>
      </c>
      <c r="D4" s="5">
        <v>46205.0</v>
      </c>
      <c r="E4" s="5">
        <v>46218.0</v>
      </c>
      <c r="F4" s="2" t="s">
        <v>56</v>
      </c>
    </row>
    <row r="5">
      <c r="A5" s="2" t="s">
        <v>60</v>
      </c>
      <c r="B5" s="2" t="s">
        <v>8</v>
      </c>
      <c r="C5" s="2" t="s">
        <v>61</v>
      </c>
      <c r="D5" s="5">
        <v>46206.0</v>
      </c>
      <c r="E5" s="5">
        <v>46221.0</v>
      </c>
      <c r="F5" s="2" t="s">
        <v>56</v>
      </c>
    </row>
    <row r="6">
      <c r="A6" s="2" t="s">
        <v>62</v>
      </c>
      <c r="B6" s="2" t="s">
        <v>8</v>
      </c>
      <c r="C6" s="2" t="s">
        <v>63</v>
      </c>
      <c r="D6" s="5">
        <v>46204.0</v>
      </c>
      <c r="E6" s="5">
        <v>46210.0</v>
      </c>
      <c r="F6" s="2" t="s">
        <v>56</v>
      </c>
    </row>
    <row r="7">
      <c r="A7" s="2" t="s">
        <v>64</v>
      </c>
      <c r="B7" s="2" t="s">
        <v>13</v>
      </c>
      <c r="C7" s="2" t="s">
        <v>65</v>
      </c>
      <c r="D7" s="5">
        <v>46206.0</v>
      </c>
      <c r="E7" s="5">
        <v>46213.0</v>
      </c>
      <c r="F7" s="2" t="s">
        <v>56</v>
      </c>
    </row>
    <row r="8">
      <c r="A8" s="2" t="s">
        <v>66</v>
      </c>
      <c r="B8" s="2" t="s">
        <v>13</v>
      </c>
      <c r="C8" s="2" t="s">
        <v>55</v>
      </c>
      <c r="D8" s="5">
        <v>46205.0</v>
      </c>
      <c r="E8" s="5">
        <v>46212.0</v>
      </c>
      <c r="F8" s="2" t="s">
        <v>67</v>
      </c>
    </row>
    <row r="9">
      <c r="A9" s="2" t="s">
        <v>68</v>
      </c>
      <c r="B9" s="2" t="s">
        <v>13</v>
      </c>
      <c r="C9" s="2" t="s">
        <v>69</v>
      </c>
      <c r="D9" s="5">
        <v>46204.0</v>
      </c>
      <c r="E9" s="5">
        <v>46211.0</v>
      </c>
      <c r="F9" s="2" t="s">
        <v>56</v>
      </c>
    </row>
    <row r="10">
      <c r="A10" s="2" t="s">
        <v>70</v>
      </c>
      <c r="B10" s="2" t="s">
        <v>17</v>
      </c>
      <c r="C10" s="2" t="s">
        <v>61</v>
      </c>
      <c r="D10" s="5">
        <v>46205.0</v>
      </c>
      <c r="E10" s="5">
        <v>46215.0</v>
      </c>
      <c r="F10" s="2" t="s">
        <v>56</v>
      </c>
    </row>
    <row r="11">
      <c r="A11" s="2" t="s">
        <v>71</v>
      </c>
      <c r="B11" s="2" t="s">
        <v>17</v>
      </c>
      <c r="C11" s="2" t="s">
        <v>55</v>
      </c>
      <c r="D11" s="5">
        <v>46204.0</v>
      </c>
      <c r="E11" s="5">
        <v>46211.0</v>
      </c>
      <c r="F11" s="2" t="s">
        <v>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72</v>
      </c>
      <c r="B1" s="1" t="s">
        <v>0</v>
      </c>
      <c r="C1" s="1" t="s">
        <v>50</v>
      </c>
      <c r="D1" s="1" t="s">
        <v>73</v>
      </c>
      <c r="E1" s="1" t="s">
        <v>74</v>
      </c>
      <c r="F1" s="1" t="s">
        <v>75</v>
      </c>
      <c r="G1" s="1" t="s">
        <v>53</v>
      </c>
    </row>
    <row r="2">
      <c r="A2" s="2" t="s">
        <v>76</v>
      </c>
      <c r="B2" s="2" t="s">
        <v>13</v>
      </c>
      <c r="C2" s="2" t="s">
        <v>55</v>
      </c>
      <c r="D2" s="2">
        <v>2.0</v>
      </c>
      <c r="E2" s="2" t="s">
        <v>77</v>
      </c>
      <c r="F2" s="6">
        <v>46209.427083333336</v>
      </c>
      <c r="G2" s="2" t="s">
        <v>78</v>
      </c>
    </row>
    <row r="3">
      <c r="F3" s="6"/>
    </row>
    <row r="4">
      <c r="F4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22.5"/>
    <col customWidth="1" min="6" max="6" width="18.13"/>
    <col customWidth="1" min="8" max="8" width="26.88"/>
  </cols>
  <sheetData>
    <row r="1">
      <c r="A1" s="1" t="s">
        <v>79</v>
      </c>
      <c r="B1" s="1" t="s">
        <v>80</v>
      </c>
      <c r="C1" s="1" t="s">
        <v>81</v>
      </c>
      <c r="D1" s="1" t="s">
        <v>50</v>
      </c>
      <c r="E1" s="1" t="s">
        <v>82</v>
      </c>
      <c r="F1" s="1" t="s">
        <v>53</v>
      </c>
      <c r="G1" s="1" t="s">
        <v>83</v>
      </c>
      <c r="H1" s="1" t="s">
        <v>84</v>
      </c>
    </row>
    <row r="2">
      <c r="A2" s="2" t="s">
        <v>85</v>
      </c>
      <c r="B2" s="2" t="s">
        <v>8</v>
      </c>
      <c r="C2" s="2" t="s">
        <v>13</v>
      </c>
      <c r="D2" s="2" t="s">
        <v>55</v>
      </c>
      <c r="E2" s="2">
        <v>15.0</v>
      </c>
      <c r="F2" s="2" t="s">
        <v>86</v>
      </c>
      <c r="G2" s="2" t="s">
        <v>87</v>
      </c>
      <c r="H2" s="6">
        <v>46209.43402777778</v>
      </c>
    </row>
    <row r="3">
      <c r="A3" s="2" t="s">
        <v>88</v>
      </c>
      <c r="B3" s="2" t="s">
        <v>25</v>
      </c>
      <c r="C3" s="2" t="s">
        <v>45</v>
      </c>
      <c r="D3" s="2" t="s">
        <v>69</v>
      </c>
      <c r="E3" s="2">
        <v>4.0</v>
      </c>
      <c r="F3" s="2" t="s">
        <v>89</v>
      </c>
      <c r="G3" s="2" t="s">
        <v>90</v>
      </c>
      <c r="H3" s="6">
        <v>46209.48611111111</v>
      </c>
    </row>
    <row r="4">
      <c r="A4" s="2" t="s">
        <v>91</v>
      </c>
      <c r="B4" s="2" t="s">
        <v>17</v>
      </c>
      <c r="C4" s="2" t="s">
        <v>21</v>
      </c>
      <c r="D4" s="2" t="s">
        <v>61</v>
      </c>
      <c r="E4" s="2">
        <v>10.0</v>
      </c>
      <c r="F4" s="2" t="s">
        <v>78</v>
      </c>
      <c r="G4" s="2" t="s">
        <v>92</v>
      </c>
      <c r="H4" s="6">
        <v>46209.538194444445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2.13"/>
    <col customWidth="1" min="4" max="4" width="19.88"/>
    <col customWidth="1" min="5" max="5" width="19.38"/>
    <col customWidth="1" min="7" max="7" width="42.5"/>
  </cols>
  <sheetData>
    <row r="1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>
      <c r="A2" s="2" t="s">
        <v>8</v>
      </c>
      <c r="B2" s="2">
        <v>0.96</v>
      </c>
      <c r="C2" s="2">
        <v>3.0</v>
      </c>
      <c r="D2" s="2">
        <v>42.0</v>
      </c>
      <c r="E2" s="2">
        <v>2.0</v>
      </c>
      <c r="F2" s="2">
        <v>98.0</v>
      </c>
      <c r="G2" s="2" t="s">
        <v>99</v>
      </c>
    </row>
    <row r="3">
      <c r="A3" s="2" t="s">
        <v>13</v>
      </c>
      <c r="B3" s="2">
        <v>0.82</v>
      </c>
      <c r="C3" s="2">
        <v>7.0</v>
      </c>
      <c r="D3" s="2">
        <v>25.0</v>
      </c>
      <c r="E3" s="2">
        <v>5.0</v>
      </c>
      <c r="F3" s="2">
        <v>84.0</v>
      </c>
      <c r="G3" s="2" t="s">
        <v>100</v>
      </c>
    </row>
    <row r="4">
      <c r="A4" s="2" t="s">
        <v>17</v>
      </c>
      <c r="B4" s="2">
        <v>0.91</v>
      </c>
      <c r="C4" s="2">
        <v>4.0</v>
      </c>
      <c r="D4" s="2">
        <v>38.0</v>
      </c>
      <c r="E4" s="2">
        <v>3.0</v>
      </c>
      <c r="F4" s="2">
        <v>93.0</v>
      </c>
      <c r="G4" s="2" t="s">
        <v>101</v>
      </c>
    </row>
    <row r="5">
      <c r="A5" s="2" t="s">
        <v>21</v>
      </c>
      <c r="B5" s="2">
        <v>0.75</v>
      </c>
      <c r="C5" s="2">
        <v>9.0</v>
      </c>
      <c r="D5" s="2">
        <v>20.0</v>
      </c>
      <c r="E5" s="2">
        <v>7.0</v>
      </c>
      <c r="F5" s="2">
        <v>76.0</v>
      </c>
      <c r="G5" s="2" t="s">
        <v>102</v>
      </c>
    </row>
    <row r="6">
      <c r="A6" s="2" t="s">
        <v>25</v>
      </c>
      <c r="B6" s="2">
        <v>0.88</v>
      </c>
      <c r="C6" s="2">
        <v>5.0</v>
      </c>
      <c r="D6" s="2">
        <v>31.0</v>
      </c>
      <c r="E6" s="2">
        <v>4.0</v>
      </c>
      <c r="F6" s="2">
        <v>89.0</v>
      </c>
      <c r="G6" s="2" t="s">
        <v>103</v>
      </c>
    </row>
    <row r="7">
      <c r="A7" s="2" t="s">
        <v>29</v>
      </c>
      <c r="B7" s="2">
        <v>0.94</v>
      </c>
      <c r="C7" s="2">
        <v>4.0</v>
      </c>
      <c r="D7" s="2">
        <v>40.0</v>
      </c>
      <c r="E7" s="2">
        <v>2.0</v>
      </c>
      <c r="F7" s="2">
        <v>95.0</v>
      </c>
      <c r="G7" s="2" t="s">
        <v>104</v>
      </c>
    </row>
    <row r="8">
      <c r="A8" s="2" t="s">
        <v>33</v>
      </c>
      <c r="B8" s="2">
        <v>0.79</v>
      </c>
      <c r="C8" s="2">
        <v>8.0</v>
      </c>
      <c r="D8" s="2">
        <v>18.0</v>
      </c>
      <c r="E8" s="2">
        <v>6.0</v>
      </c>
      <c r="F8" s="2">
        <v>80.0</v>
      </c>
      <c r="G8" s="2" t="s">
        <v>105</v>
      </c>
    </row>
    <row r="9">
      <c r="A9" s="2" t="s">
        <v>37</v>
      </c>
      <c r="B9" s="2">
        <v>0.9</v>
      </c>
      <c r="C9" s="2">
        <v>5.0</v>
      </c>
      <c r="D9" s="2">
        <v>29.0</v>
      </c>
      <c r="E9" s="2">
        <v>3.0</v>
      </c>
      <c r="F9" s="2">
        <v>91.0</v>
      </c>
      <c r="G9" s="2" t="s">
        <v>106</v>
      </c>
    </row>
    <row r="10">
      <c r="A10" s="2" t="s">
        <v>41</v>
      </c>
      <c r="B10" s="2">
        <v>0.72</v>
      </c>
      <c r="C10" s="2">
        <v>10.0</v>
      </c>
      <c r="D10" s="2">
        <v>15.0</v>
      </c>
      <c r="E10" s="2">
        <v>8.0</v>
      </c>
      <c r="F10" s="2">
        <v>73.0</v>
      </c>
      <c r="G10" s="2" t="s">
        <v>107</v>
      </c>
    </row>
    <row r="11">
      <c r="A11" s="2" t="s">
        <v>45</v>
      </c>
      <c r="B11" s="2">
        <v>0.85</v>
      </c>
      <c r="C11" s="2">
        <v>6.0</v>
      </c>
      <c r="D11" s="2">
        <v>24.0</v>
      </c>
      <c r="E11" s="2">
        <v>4.0</v>
      </c>
      <c r="F11" s="2">
        <v>86.0</v>
      </c>
      <c r="G11" s="2" t="s">
        <v>108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0.38"/>
    <col customWidth="1" min="3" max="3" width="23.5"/>
    <col customWidth="1" min="4" max="4" width="28.5"/>
    <col customWidth="1" min="5" max="5" width="23.38"/>
  </cols>
  <sheetData>
    <row r="1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>
      <c r="A2" s="6">
        <v>46209.427083333336</v>
      </c>
      <c r="B2" s="2" t="s">
        <v>114</v>
      </c>
      <c r="C2" s="2" t="s">
        <v>115</v>
      </c>
      <c r="D2" s="2" t="s">
        <v>116</v>
      </c>
      <c r="E2" s="2" t="s">
        <v>117</v>
      </c>
    </row>
    <row r="3">
      <c r="A3" s="6">
        <v>46209.427777777775</v>
      </c>
      <c r="B3" s="2" t="s">
        <v>118</v>
      </c>
      <c r="C3" s="2" t="s">
        <v>119</v>
      </c>
      <c r="D3" s="2" t="s">
        <v>120</v>
      </c>
      <c r="E3" s="2" t="s">
        <v>121</v>
      </c>
    </row>
    <row r="4">
      <c r="A4" s="6">
        <v>46209.42847222222</v>
      </c>
      <c r="B4" s="2" t="s">
        <v>122</v>
      </c>
      <c r="C4" s="2" t="s">
        <v>123</v>
      </c>
      <c r="D4" s="2" t="s">
        <v>124</v>
      </c>
      <c r="E4" s="2" t="s">
        <v>125</v>
      </c>
    </row>
    <row r="5">
      <c r="A5" s="6">
        <v>46209.42916666667</v>
      </c>
      <c r="B5" s="2" t="s">
        <v>126</v>
      </c>
      <c r="C5" s="2" t="s">
        <v>127</v>
      </c>
      <c r="D5" s="2" t="s">
        <v>128</v>
      </c>
      <c r="E5" s="2" t="s">
        <v>129</v>
      </c>
    </row>
    <row r="6">
      <c r="A6" s="6">
        <v>46209.430555555555</v>
      </c>
      <c r="B6" s="2" t="s">
        <v>130</v>
      </c>
      <c r="C6" s="2" t="s">
        <v>131</v>
      </c>
      <c r="D6" s="2" t="s">
        <v>132</v>
      </c>
      <c r="E6" s="2" t="s">
        <v>89</v>
      </c>
    </row>
    <row r="7">
      <c r="A7" s="6">
        <v>46209.45486111111</v>
      </c>
      <c r="B7" s="2" t="s">
        <v>133</v>
      </c>
      <c r="C7" s="2" t="s">
        <v>134</v>
      </c>
      <c r="D7" s="2" t="s">
        <v>135</v>
      </c>
      <c r="E7" s="2" t="s">
        <v>136</v>
      </c>
    </row>
  </sheetData>
  <drawing r:id="rId1"/>
</worksheet>
</file>